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5353406d4250cb9f/Desktop/Luke_Excel/"/>
    </mc:Choice>
  </mc:AlternateContent>
  <xr:revisionPtr revIDLastSave="233" documentId="13_ncr:1_{5CB91F61-B31D-42D2-9219-19B04FF39224}" xr6:coauthVersionLast="47" xr6:coauthVersionMax="47" xr10:uidLastSave="{FC747959-C899-45D3-A8EC-E14135D5843A}"/>
  <bookViews>
    <workbookView xWindow="-38520" yWindow="1830" windowWidth="38640" windowHeight="21120" activeTab="3" xr2:uid="{6F716FE0-A4DF-418B-900B-3408E44BFC15}"/>
  </bookViews>
  <sheets>
    <sheet name="Salary_Vs_Skills" sheetId="19" r:id="rId1"/>
    <sheet name="Salary_Analysis" sheetId="20" r:id="rId2"/>
    <sheet name="Skill_Job_Analysis" sheetId="18" r:id="rId3"/>
    <sheet name="Skill_Salary_Analysis" sheetId="21" r:id="rId4"/>
  </sheets>
  <definedNames>
    <definedName name="Slicer_job_country1">#N/A</definedName>
    <definedName name="Slicer_job_title_short">#N/A</definedName>
  </definedNames>
  <calcPr calcId="191029"/>
  <pivotCaches>
    <pivotCache cacheId="224" r:id="rId5"/>
    <pivotCache cacheId="225" r:id="rId6"/>
    <pivotCache cacheId="226" r:id="rId7"/>
    <pivotCache cacheId="227" r:id="rId8"/>
  </pivotCaches>
  <extLst>
    <ext xmlns:x14="http://schemas.microsoft.com/office/spreadsheetml/2009/9/main" uri="{876F7934-8845-4945-9796-88D515C7AA90}">
      <x14:pivotCaches>
        <pivotCache cacheId="22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9" l="1" a="1"/>
  <c r="G4"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06E3E9-AE81-4550-891C-17C1391D9C7F}"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<sst xmlns="http://schemas.openxmlformats.org/spreadsheetml/2006/main" count="56" uniqueCount="28">
  <si>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</si>
  <si>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</si>
  <si>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</si>
  <si>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</si>
  <si>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</si>
  <si>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</si>
  <si>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</si>
  <si>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</si>
  <si>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</si>
  <si>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</si>
  <si>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</si>
  <si>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</si>
  <si>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</si>
  <si>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</si>
  <si>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</si>
  <si>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</si>
  <si>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</si>
  <si>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</si>
  <si>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</si>
  <si>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</si>
  <si>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</si>
  <si>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</si>
  <si>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Median Salary - Skills</t>
  </si>
  <si>
    <t>Skill Likelihood</t>
  </si>
  <si>
    <t>Java</t>
  </si>
  <si>
    <t>Azure</t>
  </si>
  <si>
    <t>Spark</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</si>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</sst>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center"/>
    </xf>
    <xf numFmtId="0" fontId="0" fillId="0" borderId="0" xfId="0" applyAlignment="1">
      <alignment horizontal="center" vertical="center"/>
    </xf>
    <xf numFmtId="165" fontId="0" fillId="0" borderId="0" xfId="0" applyNumberFormat="1" applyAlignment="1">
      <alignment horizontal="center" vertical="center"/>
    </xf>
    <xf numFmtId="9" fontId="0" fillId="0" borderId="0" xfId="0" applyNumberFormat="1" applyAlignment="1">
      <alignment horizontal="center" vertical="center"/>
    </xf>
    <xf numFmtId="0" fontId="0" fillId="0" borderId="0" xfId="0" applyAlignment="1">
      <alignment horizontal="left" vertical="center"/>
    </xf>
    <xf numFmtId="0" fontId="0" fillId="0" borderId="0" xfId="0" pivotButton="1" applyAlignment="1">
      <alignment horizontal="center"/>
    </xf>
    <xf numFmtId="164" fontId="0" fillId="0" borderId="0" xfId="0" applyNumberFormat="1" applyAlignment="1">
      <alignment horizontal="center" vertical="center"/>
    </xf>
  </cellXfs>
  <cellStyles count="1">
    <cellStyle name="Normal" xfId="0" builtinId="0"/>
  </cellStyles>
  <dxfs count="19">
    <dxf>
      <alignment horizontal="center"/>
    </dxf>
    <dxf>
      <alignment horizontal="center"/>
    </dxf>
    <dxf>
      <alignment vertical="center"/>
    </dxf>
    <dxf>
      <alignment vertical="center"/>
    </dxf>
    <dxf>
      <numFmt numFmtId="13" formatCode="0%"/>
    </dxf>
    <dxf>
      <numFmt numFmtId="13" formatCode="0%"/>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7.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Professionals?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Salary_Vs_Skills!$I$4</c:f>
              <c:strCache>
                <c:ptCount val="1"/>
                <c:pt idx="0">
                  <c:v>Skills Per Job</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0.10203272446968924"/>
                  <c:y val="-4.9766828261382783E-2"/>
                </c:manualLayout>
              </c:layout>
              <c:tx>
                <c:rich>
                  <a:bodyPr/>
                  <a:lstStyle/>
                  <a:p>
                    <a:fld id="{DE96A11C-8550-4AF0-83EC-A2FE2E235D8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9.6642454319078919E-2"/>
                  <c:y val="-4.2898895100973521E-2"/>
                </c:manualLayout>
              </c:layout>
              <c:tx>
                <c:rich>
                  <a:bodyPr/>
                  <a:lstStyle/>
                  <a:p>
                    <a:fld id="{078BA01F-BD25-412A-A917-6BEF8F0B2CB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8920497075126429E-2"/>
                  <c:y val="-4.2898895100973486E-2"/>
                </c:manualLayout>
              </c:layout>
              <c:tx>
                <c:rich>
                  <a:bodyPr/>
                  <a:lstStyle/>
                  <a:p>
                    <a:fld id="{77B430E7-5EDD-4AB3-92B2-FDE9A052283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5.3180162502280942E-2"/>
                  <c:y val="-4.2898895100973486E-2"/>
                </c:manualLayout>
              </c:layout>
              <c:tx>
                <c:rich>
                  <a:bodyPr/>
                  <a:lstStyle/>
                  <a:p>
                    <a:fld id="{846569A4-16F4-4CFD-8B1C-C54A74BD6FB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2.1164873212901357E-2"/>
                  <c:y val="4.9818202564551134E-2"/>
                </c:manualLayout>
              </c:layout>
              <c:tx>
                <c:rich>
                  <a:bodyPr/>
                  <a:lstStyle/>
                  <a:p>
                    <a:fld id="{0FCB4E19-9FA2-43CB-BB27-D199A6D6D5B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5.5170300916503066E-2"/>
                  <c:y val="-6.3502694582201244E-2"/>
                </c:manualLayout>
              </c:layout>
              <c:tx>
                <c:rich>
                  <a:bodyPr/>
                  <a:lstStyle/>
                  <a:p>
                    <a:fld id="{1F4520A2-FAFF-4D1F-BADD-BDDFBB26D94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079403102337624"/>
                  <c:y val="-6.6936661162405806E-2"/>
                </c:manualLayout>
              </c:layout>
              <c:tx>
                <c:rich>
                  <a:bodyPr/>
                  <a:lstStyle/>
                  <a:p>
                    <a:fld id="{B5C1BE5A-2029-4B7E-A4F2-7DF349E2694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1.8568753285519317E-2"/>
                  <c:y val="-3.9464928520768876E-2"/>
                </c:manualLayout>
              </c:layout>
              <c:tx>
                <c:rich>
                  <a:bodyPr/>
                  <a:lstStyle/>
                  <a:p>
                    <a:fld id="{B651E903-5731-460A-B993-9A6C19A2AE1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1667165534684005E-2"/>
                  <c:y val="-4.6332861681178165E-2"/>
                </c:manualLayout>
              </c:layout>
              <c:tx>
                <c:rich>
                  <a:bodyPr/>
                  <a:lstStyle/>
                  <a:p>
                    <a:fld id="{DFC16D7F-F9E7-461A-91F5-9ED0369D95A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layout>
                <c:manualLayout>
                  <c:x val="-5.3566974829600732E-2"/>
                  <c:y val="3.951630282393729E-2"/>
                </c:manualLayout>
              </c:layout>
              <c:tx>
                <c:rich>
                  <a:bodyPr/>
                  <a:lstStyle/>
                  <a:p>
                    <a:fld id="{58E19044-98B9-464E-B63F-BEF9DA1E5DE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Salary_Vs_Skills!$H$5:$H$14</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Salary_Vs_Skills!$I$5:$I$14</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Salary_Vs_Skills!$G$5:$G$14</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dLblPos val="t"/>
          <c:showLegendKey val="0"/>
          <c:showVal val="1"/>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layout>
            <c:manualLayout>
              <c:xMode val="edge"/>
              <c:yMode val="edge"/>
              <c:x val="0.43074236396440219"/>
              <c:y val="0.91688070373061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layout>
            <c:manualLayout>
              <c:xMode val="edge"/>
              <c:yMode val="edge"/>
              <c:x val="1.4884931131555102E-2"/>
              <c:y val="0.306481787674331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[PowerQuery_PowerPivot.xlsx]Skill_Job_Analysis!PivotTable2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Professionals?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Skill_Job_Analysis!$B$4</c:f>
              <c:strCache>
                <c:ptCount val="1"/>
                <c:pt idx="0">
                  <c:v>Total</c:v>
                </c:pt>
              </c:strCache>
            </c:strRef>
          </c:tx>
          <c:spPr>
            <a:solidFill>
              <a:schemeClr val="accent1"/>
            </a:solidFill>
            <a:ln>
              <a:noFill/>
            </a:ln>
            <a:effectLst/>
          </c:spPr>
          <c:invertIfNegative val="0"/>
          <c:cat>
            <c:strRef>
              <c:f>Skill_Job_Analysis!$A$5:$A$15</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Skill_Job_Analysis!$B$5:$B$15</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32AC-482E-A9F9-99E193461939}"/>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[PowerQuery_PowerPivot.xlsx]Skill_Salary_Analysis!PivotTable3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8"/>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Skill_Salary_Analysis!$C$4</c:f>
              <c:strCache>
                <c:ptCount val="1"/>
                <c:pt idx="0">
                  <c:v>Median Salary - Skills</c:v>
                </c:pt>
              </c:strCache>
            </c:strRef>
          </c:tx>
          <c:spPr>
            <a:solidFill>
              <a:schemeClr val="accent1">
                <a:shade val="76000"/>
              </a:schemeClr>
            </a:solidFill>
            <a:ln w="25400">
              <a:noFill/>
            </a:ln>
            <a:effectLst/>
          </c:spPr>
          <c:invertIfNegative val="0"/>
          <c:cat>
            <c:strRef>
              <c:f>Skill_Salary_Analysis!$B$5:$B$15</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Skill_Salary_Analysis!$C$5:$C$15</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7C6A-4B07-AF34-86FD8ADF276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Skill_Salary_Analysis!$D$4</c:f>
              <c:strCache>
                <c:ptCount val="1"/>
                <c:pt idx="0">
                  <c:v>Skill Likelihood</c:v>
                </c:pt>
              </c:strCache>
            </c:strRef>
          </c:tx>
          <c:spPr>
            <a:ln w="28575" cap="rnd">
              <a:noFill/>
              <a:round/>
            </a:ln>
            <a:effectLst/>
          </c:spPr>
          <c:marker>
            <c:symbol val="diamond"/>
            <c:size val="8"/>
            <c:spPr>
              <a:solidFill>
                <a:srgbClr val="FFC000"/>
              </a:solidFill>
              <a:ln w="9525">
                <a:solidFill>
                  <a:srgbClr val="FFC000"/>
                </a:solidFill>
              </a:ln>
              <a:effectLst/>
            </c:spPr>
          </c:marker>
          <c:cat>
            <c:strRef>
              <c:f>Skill_Salary_Analysis!$B$5:$B$15</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Skill_Salary_Analysis!$D$5:$D$15</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7C6A-4B07-AF34-86FD8ADF2760}"/>
            </c:ext>
          </c:extLst>
        </c:ser>
        <c:dLbls>
          <c:showLegendKey val="0"/>
          <c:showVal val="0"/>
          <c:showCatName val="0"/>
          <c:showSerName val="0"/>
          <c:showPercent val="0"/>
          <c:showBubbleSize val="0"/>
        </c:dLbls>
        <c:marker val="1"/>
        <c:smooth val="0"/>
        <c:axId val="1211271984"/>
        <c:axId val="1211273424"/>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12112734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71984"/>
        <c:crosses val="max"/>
        <c:crossBetween val="between"/>
      </c:valAx>
      <c:catAx>
        <c:axId val="1211271984"/>
        <c:scaling>
          <c:orientation val="minMax"/>
        </c:scaling>
        <c:delete val="1"/>
        <c:axPos val="b"/>
        <c:numFmt formatCode="General" sourceLinked="1"/>
        <c:majorTickMark val="out"/>
        <c:minorTickMark val="none"/>
        <c:tickLblPos val="nextTo"/>
        <c:crossAx val="1211273424"/>
        <c:auto val="1"/>
        <c:lblAlgn val="ctr"/>
        <c:lblOffset val="100"/>
        <c:noMultiLvlLbl val="0"/>
      </c:catAx>
      <c:spPr>
        <a:noFill/>
        <a:ln>
          <a:noFill/>
        </a:ln>
        <a:effectLst/>
      </c:spPr>
    </c:plotArea>
    <c:legend>
      <c:legendPos val="r"/>
      <c:layout>
        <c:manualLayout>
          <c:xMode val="edge"/>
          <c:yMode val="edge"/>
          <c:x val="0.75662054671464352"/>
          <c:y val="1.2525128404124022E-2"/>
          <c:w val="0.1940626957066314"/>
          <c:h val="0.118848020336490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131639</xdr:colOff>
      <xdr:row>0</xdr:row>
      <xdr:rowOff>163358</xdr:rowOff>
    </xdr:from>
    <xdr:to>
      <xdr:col>12</xdr:col>
      <xdr:colOff>383724</xdr:colOff>
      <xdr:row>21</xdr:row>
      <xdr:rowOff>84362</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530699</xdr:colOff>
      <xdr:row>0</xdr:row>
      <xdr:rowOff>162944</xdr:rowOff>
    </xdr:from>
    <xdr:to>
      <xdr:col>15</xdr:col>
      <xdr:colOff>332018</xdr:colOff>
      <xdr:row>21</xdr:row>
      <xdr:rowOff>104777</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060534" y="162944"/>
              <a:ext cx="1763468" cy="3807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79058</xdr:colOff>
      <xdr:row>2</xdr:row>
      <xdr:rowOff>61504</xdr:rowOff>
    </xdr:from>
    <xdr:to>
      <xdr:col>7</xdr:col>
      <xdr:colOff>503054</xdr:colOff>
      <xdr:row>15</xdr:row>
      <xdr:rowOff>142196</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919924" y="428897"/>
              <a:ext cx="1733005" cy="2466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246534</xdr:colOff>
      <xdr:row>0</xdr:row>
      <xdr:rowOff>180693</xdr:rowOff>
    </xdr:from>
    <xdr:to>
      <xdr:col>8</xdr:col>
      <xdr:colOff>132234</xdr:colOff>
      <xdr:row>16</xdr:row>
      <xdr:rowOff>119733</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273321</xdr:colOff>
      <xdr:row>1</xdr:row>
      <xdr:rowOff>1126</xdr:rowOff>
    </xdr:from>
    <xdr:to>
      <xdr:col>11</xdr:col>
      <xdr:colOff>221795</xdr:colOff>
      <xdr:row>16</xdr:row>
      <xdr:rowOff>112610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365567" y="185057"/>
              <a:ext cx="1906541" cy="287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251906</xdr:colOff>
      <xdr:row>1</xdr:row>
      <xdr:rowOff>1182</xdr:rowOff>
    </xdr:from>
    <xdr:to>
      <xdr:col>14</xdr:col>
      <xdr:colOff>141279</xdr:colOff>
      <xdr:row>16</xdr:row>
      <xdr:rowOff>103745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303581" y="185113"/>
              <a:ext cx="1852882" cy="2860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363320</xdr:colOff>
      <xdr:row>2</xdr:row>
      <xdr:rowOff>87075</xdr:rowOff>
    </xdr:from>
    <xdr:to>
      <xdr:col>15</xdr:col>
      <xdr:colOff>369172</xdr:colOff>
      <xdr:row>18</xdr:row>
      <xdr:rowOff>169676</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263877" y="457189"/>
              <a:ext cx="1965278" cy="3038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420796</xdr:colOff>
      <xdr:row>2</xdr:row>
      <xdr:rowOff>86326</xdr:rowOff>
    </xdr:from>
    <xdr:to>
      <xdr:col>18</xdr:col>
      <xdr:colOff>450343</xdr:colOff>
      <xdr:row>18</xdr:row>
      <xdr:rowOff>170384</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2280782" y="456440"/>
              <a:ext cx="1988972" cy="3039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76666</xdr:colOff>
      <xdr:row>0</xdr:row>
      <xdr:rowOff>182644</xdr:rowOff>
    </xdr:from>
    <xdr:to>
      <xdr:col>12</xdr:col>
      <xdr:colOff>166488</xdr:colOff>
      <xdr:row>20</xdr:row>
      <xdr:rowOff>105102</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 Jing Ding" refreshedDate="45975.590030324071" createdVersion="8" refreshedVersion="8" minRefreshableVersion="3" recordCount="0" supportSubquery="1" supportAdvancedDrill="1" xr:uid="{161510CA-3BB5-49B1-9DB7-5E3258DFAA05}">
  <cacheSource type="external" connectionId="1"/>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cacheHierarchy uniqueName="[Measures].[Sum of job_id]" caption="Sum of job_id" measure="1" displayFolder="" measureGroup="data_jobs_skills" count="0"/>
    <cacheHierarchy uniqueName="[Measures].[Count of job_id]" caption="Count of job_id" measure="1" displayFolder="" measureGroup="data_jobs_skills" count="0"/>
    <cacheHierarchy uniqueName="[Measures].[Sum of job_id 2]" caption="Sum of job_id 2" measure="1" displayFolder="" measureGroup="data_jobs_salary" count="0"/>
    <cacheHierarchy uniqueName="[Measures].[Count of job_id 2]" caption="Count of job_id 2" measure="1" displayFolder="" measureGroup="data_jobs_salary" count="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 Jing Ding" refreshedDate="45975.590030902778" createdVersion="8" refreshedVersion="8" minRefreshableVersion="3" recordCount="0" supportSubquery="1" supportAdvancedDrill="1" xr:uid="{8FCD8836-9D4B-4ACF-9F7F-D49772D5D41B}">
  <cacheSource type="external" connectionId="1"/>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cacheHierarchy uniqueName="[Measures].[Sum of job_id]" caption="Sum of job_id" measure="1" displayFolder="" measureGroup="data_jobs_skills" count="0"/>
    <cacheHierarchy uniqueName="[Measures].[Count of job_id]" caption="Count of job_id" measure="1" displayFolder="" measureGroup="data_jobs_skills" count="0"/>
    <cacheHierarchy uniqueName="[Measures].[Sum of job_id 2]" caption="Sum of job_id 2" measure="1" displayFolder="" measureGroup="data_jobs_salary" count="0"/>
    <cacheHierarchy uniqueName="[Measures].[Count of job_id 2]" caption="Count of job_id 2" measure="1" displayFolder="" measureGroup="data_jobs_salary" count="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 Jing Ding" refreshedDate="45975.59003240741" createdVersion="8" refreshedVersion="8" minRefreshableVersion="3" recordCount="0" supportSubquery="1" supportAdvancedDrill="1" xr:uid="{5A0E78E7-B5AD-4AF5-BBB5-3A5797C3BF21}">
  <cacheSource type="external" connectionId="1"/>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33" level="32767"/>
    <cacheField name="[Measures].[Skill Likelihood]" caption="Skill Likelihood" numFmtId="0" hierarchy="34"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cacheHierarchy uniqueName="[Measures].[Sum of job_id]" caption="Sum of job_id" measure="1" displayFolder="" measureGroup="data_jobs_skills" count="0"/>
    <cacheHierarchy uniqueName="[Measures].[Count of job_id]" caption="Count of job_id" measure="1" displayFolder="" measureGroup="data_jobs_skills" count="0"/>
    <cacheHierarchy uniqueName="[Measures].[Sum of job_id 2]" caption="Sum of job_id 2" measure="1" displayFolder="" measureGroup="data_jobs_salary" count="0"/>
    <cacheHierarchy uniqueName="[Measures].[Count of job_id 2]" caption="Count of job_id 2" measure="1" displayFolder="" measureGroup="data_jobs_salary" count="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 Jing Ding" refreshedDate="45975.590032986111" createdVersion="8" refreshedVersion="8" minRefreshableVersion="3" recordCount="0" supportSubquery="1" supportAdvancedDrill="1" xr:uid="{4C9E3BDB-2554-426F-A7BD-C1B837A73854}">
  <cacheSource type="external" connectionId="1"/>
  <cacheFields count="3">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4"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cacheHierarchy uniqueName="[Measures].[Sum of job_id]" caption="Sum of job_id" measure="1" displayFolder="" measureGroup="data_jobs_skills" count="0"/>
    <cacheHierarchy uniqueName="[Measures].[Count of job_id]" caption="Count of job_id" measure="1" displayFolder="" measureGroup="data_jobs_skills" count="0"/>
    <cacheHierarchy uniqueName="[Measures].[Sum of job_id 2]" caption="Sum of job_id 2" measure="1" displayFolder="" measureGroup="data_jobs_salary" count="0"/>
    <cacheHierarchy uniqueName="[Measures].[Count of job_id 2]" caption="Count of job_id 2" measure="1" displayFolder="" measureGroup="data_jobs_salary" count="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31B1E6D3-262B-4BB5-AEBF-8A2C42575B23}">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cacheHierarchy uniqueName="[Measures].[Sum of job_id]" caption="Sum of job_id" measure="1" displayFolder="" measureGroup="data_jobs_skills" count="0"/>
    <cacheHierarchy uniqueName="[Measures].[Count of job_id]" caption="Count of job_id" measure="1" displayFolder="" measureGroup="data_jobs_skills" count="0"/>
    <cacheHierarchy uniqueName="[Measures].[Sum of job_id 2]" caption="Sum of job_id 2" measure="1" displayFolder="" measureGroup="data_jobs_salary" count="0"/>
    <cacheHierarchy uniqueName="[Measures].[Count of job_id 2]" caption="Count of job_id 2" measure="1" displayFolder="" measureGroup="data_jobs_salary" count="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6280291"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225" applyNumberFormats="0" applyBorderFormats="0" applyFontFormats="0" applyPatternFormats="0" applyAlignmentFormats="0" applyWidthHeightFormats="1" dataCaption="Values" tag="455c86a2-a6a5-4269-bf88-448a5375df5b" updatedVersion="8" minRefreshableVersion="3" useAutoFormatting="1" subtotalHiddenItems="1" itemPrintTitles="1" createdVersion="8" indent="0" outline="1" outlineData="1" multipleFieldFilters="0">
  <location ref="B4:D15"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formats count="4">
    <format dxfId="15">
      <pivotArea outline="0" collapsedLevelsAreSubtotals="1" fieldPosition="0"/>
    </format>
    <format dxfId="16">
      <pivotArea dataOnly="0" labelOnly="1" outline="0" fieldPosition="0">
        <references count="1">
          <reference field="4294967294" count="2">
            <x v="0"/>
            <x v="1"/>
          </reference>
        </references>
      </pivotArea>
    </format>
    <format dxfId="17">
      <pivotArea outline="0" collapsedLevelsAreSubtotals="1" fieldPosition="0"/>
    </format>
    <format dxfId="18">
      <pivotArea dataOnly="0" labelOnly="1" outline="0" fieldPosition="0">
        <references count="1">
          <reference field="4294967294" count="2">
            <x v="0"/>
            <x v="1"/>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224" applyNumberFormats="0" applyBorderFormats="0" applyFontFormats="0" applyPatternFormats="0" applyAlignmentFormats="0" applyWidthHeightFormats="1" dataCaption="Values" tag="9d534e90-851f-4483-b7ae-885fe84baea1" updatedVersion="8" minRefreshableVersion="3" useAutoFormatting="1" subtotalHiddenItems="1" itemPrintTitles="1" createdVersion="8" indent="0" outline="1" outlineData="1" multipleFieldFilters="0">
  <location ref="B4:E15"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3" subtotal="count" baseField="0" baseItem="0"/>
    <dataField fld="4" subtotal="count" baseField="0" baseItem="0"/>
    <dataField fld="1" subtotal="count" baseField="0" baseItem="0"/>
  </dataFields>
  <formats count="4">
    <format dxfId="0">
      <pivotArea outline="0" collapsedLevelsAreSubtotals="1" fieldPosition="0"/>
    </format>
    <format dxfId="1">
      <pivotArea dataOnly="0" labelOnly="1" outline="0" fieldPosition="0">
        <references count="1">
          <reference field="4294967294" count="3">
            <x v="0"/>
            <x v="1"/>
            <x v="2"/>
          </reference>
        </references>
      </pivotArea>
    </format>
    <format dxfId="2">
      <pivotArea outline="0" collapsedLevelsAreSubtotals="1" fieldPosition="0"/>
    </format>
    <format dxfId="3">
      <pivotArea dataOnly="0" labelOnly="1" outline="0" fieldPosition="0">
        <references count="1">
          <reference field="4294967294" count="3">
            <x v="0"/>
            <x v="1"/>
            <x v="2"/>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227" applyNumberFormats="0" applyBorderFormats="0" applyFontFormats="0" applyPatternFormats="0" applyAlignmentFormats="0" applyWidthHeightFormats="1" dataCaption="Values" tag="b05585e1-6867-445c-a3d3-283b10041b88" updatedVersion="8" minRefreshableVersion="3" useAutoFormatting="1" subtotalHiddenItems="1" itemPrintTitles="1" createdVersion="8" indent="0" outline="1" outlineData="1" multipleFieldFilters="0" chartFormat="1">
  <location ref="A4:B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4">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226" applyNumberFormats="0" applyBorderFormats="0" applyFontFormats="0" applyPatternFormats="0" applyAlignmentFormats="0" applyWidthHeightFormats="1" dataCaption="Values" tag="2f1e766b-6735-4839-bec0-5d90162b4ede" updatedVersion="8" minRefreshableVersion="3" useAutoFormatting="1" subtotalHiddenItems="1" itemPrintTitles="1" createdVersion="8" indent="0" outline="1" outlineData="1" multipleFieldFilters="0" chartFormat="17">
  <location ref="B4:D15"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10">
    <format dxfId="5">
      <pivotArea outline="0" collapsedLevelsAreSubtotals="1" fieldPosition="0">
        <references count="1">
          <reference field="4294967294" count="1" selected="0">
            <x v="1"/>
          </reference>
        </references>
      </pivotArea>
    </format>
    <format dxfId="6">
      <pivotArea outline="0" collapsedLevelsAreSubtotals="1" fieldPosition="0"/>
    </format>
    <format dxfId="7">
      <pivotArea dataOnly="0" labelOnly="1" fieldPosition="0">
        <references count="1">
          <reference field="0" count="0"/>
        </references>
      </pivotArea>
    </format>
    <format dxfId="8">
      <pivotArea dataOnly="0" labelOnly="1" grandRow="1" outline="0" fieldPosition="0"/>
    </format>
    <format dxfId="9">
      <pivotArea type="all" dataOnly="0" outline="0" fieldPosition="0"/>
    </format>
    <format dxfId="10">
      <pivotArea dataOnly="0" labelOnly="1" fieldPosition="0">
        <references count="1">
          <reference field="0" count="0"/>
        </references>
      </pivotArea>
    </format>
    <format dxfId="11">
      <pivotArea dataOnly="0" labelOnly="1" grandRow="1" outline="0" fieldPosition="0"/>
    </format>
    <format dxfId="12">
      <pivotArea field="0" type="button" dataOnly="0" labelOnly="1" outline="0" axis="axisRow" fieldPosition="0"/>
    </format>
    <format dxfId="13">
      <pivotArea dataOnly="0" labelOnly="1" outline="0" fieldPosition="0">
        <references count="1">
          <reference field="4294967294" count="2">
            <x v="0"/>
            <x v="1"/>
          </reference>
        </references>
      </pivotArea>
    </format>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30628029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30628029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startItem="83"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B4:I15"/>
  <sheetViews>
    <sheetView zoomScale="130" zoomScaleNormal="130" workbookViewId="0">
      <selection activeCell="F37" sqref="F37"/>
    </sheetView>
  </sheetViews>
  <sheetFormatPr defaultRowHeight="14.6" x14ac:dyDescent="0.4"/>
  <cols>
    <col min="2" max="2" width="22.61328125" bestFit="1" customWidth="1"/>
    <col min="3" max="3" width="12.61328125" bestFit="1" customWidth="1"/>
    <col min="4" max="4" width="11.765625" bestFit="1" customWidth="1"/>
    <col min="5" max="5" width="12.3046875" bestFit="1" customWidth="1"/>
    <col min="6" max="6" width="22.23046875" bestFit="1" customWidth="1"/>
    <col min="8" max="8" width="11.69140625" bestFit="1" customWidth="1"/>
  </cols>
  <sheetData>
    <row r="4" spans="2:9" x14ac:dyDescent="0.4">
      <c r="B4" s="1" t="s">
        <v>10</v>
      </c>
      <c r="C4" s="5" t="s">
        <v>19</v>
      </c>
      <c r="D4" s="5" t="s">
        <v>18</v>
      </c>
      <c r="G4" t="str" cm="1">
        <f t="array" ref="G4:I14">B4:D14</f>
        <v>Row Labels</v>
      </c>
      <c r="H4" t="str">
        <v>Median Salary</v>
      </c>
      <c r="I4" t="str">
        <v>Skills Per Job</v>
      </c>
    </row>
    <row r="5" spans="2:9" x14ac:dyDescent="0.4">
      <c r="B5" s="2" t="s">
        <v>0</v>
      </c>
      <c r="C5" s="6">
        <v>155000</v>
      </c>
      <c r="D5" s="10">
        <v>5.2608262817322053</v>
      </c>
      <c r="G5" t="str">
        <v>Senior Data Scientist</v>
      </c>
      <c r="H5">
        <v>155000</v>
      </c>
      <c r="I5">
        <v>5.2608262817322053</v>
      </c>
    </row>
    <row r="6" spans="2:9" x14ac:dyDescent="0.4">
      <c r="B6" s="2" t="s">
        <v>5</v>
      </c>
      <c r="C6" s="6">
        <v>147500</v>
      </c>
      <c r="D6" s="10">
        <v>8.1405163853028792</v>
      </c>
      <c r="G6" t="str">
        <v>Senior Data Engineer</v>
      </c>
      <c r="H6">
        <v>147500</v>
      </c>
      <c r="I6">
        <v>8.1405163853028792</v>
      </c>
    </row>
    <row r="7" spans="2:9" x14ac:dyDescent="0.4">
      <c r="B7" s="2" t="s">
        <v>4</v>
      </c>
      <c r="C7" s="6">
        <v>127500</v>
      </c>
      <c r="D7" s="10">
        <v>4.9271336080047083</v>
      </c>
      <c r="G7" t="str">
        <v>Data Scientist</v>
      </c>
      <c r="H7">
        <v>127500</v>
      </c>
      <c r="I7">
        <v>4.9271336080047083</v>
      </c>
    </row>
    <row r="8" spans="2:9" x14ac:dyDescent="0.4">
      <c r="B8" s="2" t="s">
        <v>1</v>
      </c>
      <c r="C8" s="6">
        <v>125000</v>
      </c>
      <c r="D8" s="10">
        <v>6.961963732861566</v>
      </c>
      <c r="G8" t="str">
        <v>Data Engineer</v>
      </c>
      <c r="H8">
        <v>125000</v>
      </c>
      <c r="I8">
        <v>6.961963732861566</v>
      </c>
    </row>
    <row r="9" spans="2:9" x14ac:dyDescent="0.4">
      <c r="B9" s="2" t="s">
        <v>2</v>
      </c>
      <c r="C9" s="6">
        <v>111175</v>
      </c>
      <c r="D9" s="10">
        <v>4.3544474393531001</v>
      </c>
      <c r="G9" t="str">
        <v>Senior Data Analyst</v>
      </c>
      <c r="H9">
        <v>111175</v>
      </c>
      <c r="I9">
        <v>4.3544474393531001</v>
      </c>
    </row>
    <row r="10" spans="2:9" x14ac:dyDescent="0.4">
      <c r="B10" s="2" t="s">
        <v>3</v>
      </c>
      <c r="C10" s="6">
        <v>107550</v>
      </c>
      <c r="D10" s="10">
        <v>5.2834138486312403</v>
      </c>
      <c r="G10" t="str">
        <v>Machine Learning Engineer</v>
      </c>
      <c r="H10">
        <v>107550</v>
      </c>
      <c r="I10">
        <v>5.2834138486312403</v>
      </c>
    </row>
    <row r="11" spans="2:9" x14ac:dyDescent="0.4">
      <c r="B11" s="2" t="s">
        <v>7</v>
      </c>
      <c r="C11" s="6">
        <v>99150</v>
      </c>
      <c r="D11" s="10">
        <v>5.5445026178010473</v>
      </c>
      <c r="G11" t="str">
        <v>Software Engineer</v>
      </c>
      <c r="H11">
        <v>99150</v>
      </c>
      <c r="I11">
        <v>5.5445026178010473</v>
      </c>
    </row>
    <row r="12" spans="2:9" x14ac:dyDescent="0.4">
      <c r="B12" s="2" t="s">
        <v>6</v>
      </c>
      <c r="C12" s="6">
        <v>90000</v>
      </c>
      <c r="D12" s="10">
        <v>3.600978555069748</v>
      </c>
      <c r="G12" t="str">
        <v>Data Analyst</v>
      </c>
      <c r="H12">
        <v>90000</v>
      </c>
      <c r="I12">
        <v>3.600978555069748</v>
      </c>
    </row>
    <row r="13" spans="2:9" x14ac:dyDescent="0.4">
      <c r="B13" s="2" t="s">
        <v>9</v>
      </c>
      <c r="C13" s="6">
        <v>90000</v>
      </c>
      <c r="D13" s="10">
        <v>4.8023255813953485</v>
      </c>
      <c r="G13" t="str">
        <v>Cloud Engineer</v>
      </c>
      <c r="H13">
        <v>90000</v>
      </c>
      <c r="I13">
        <v>4.8023255813953485</v>
      </c>
    </row>
    <row r="14" spans="2:9" x14ac:dyDescent="0.4">
      <c r="B14" s="2" t="s">
        <v>8</v>
      </c>
      <c r="C14" s="6">
        <v>85000</v>
      </c>
      <c r="D14" s="10">
        <v>3.2997002997002998</v>
      </c>
      <c r="G14" t="str">
        <v>Business Analyst</v>
      </c>
      <c r="H14">
        <v>85000</v>
      </c>
      <c r="I14">
        <v>3.2997002997002998</v>
      </c>
    </row>
    <row r="15" spans="2:9" x14ac:dyDescent="0.4">
      <c r="B15" s="2" t="s">
        <v>11</v>
      </c>
      <c r="C15" s="6">
        <v>115000</v>
      </c>
      <c r="D15" s="10">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B4:E15"/>
  <sheetViews>
    <sheetView zoomScale="160" zoomScaleNormal="160" workbookViewId="0">
      <selection activeCell="D31" sqref="D31"/>
    </sheetView>
  </sheetViews>
  <sheetFormatPr defaultRowHeight="14.6" x14ac:dyDescent="0.4"/>
  <cols>
    <col min="2" max="2" width="22.61328125" bestFit="1" customWidth="1"/>
    <col min="3" max="3" width="15.3828125" bestFit="1" customWidth="1"/>
    <col min="4" max="4" width="19.4609375" bestFit="1" customWidth="1"/>
    <col min="5" max="5" width="12.61328125" bestFit="1" customWidth="1"/>
  </cols>
  <sheetData>
    <row r="4" spans="2:5" x14ac:dyDescent="0.4">
      <c r="B4" s="1" t="s">
        <v>10</v>
      </c>
      <c r="C4" s="5" t="s">
        <v>20</v>
      </c>
      <c r="D4" s="5" t="s">
        <v>21</v>
      </c>
      <c r="E4" s="5" t="s">
        <v>19</v>
      </c>
    </row>
    <row r="5" spans="2:5" x14ac:dyDescent="0.4">
      <c r="B5" s="2" t="s">
        <v>8</v>
      </c>
      <c r="C5" s="6">
        <v>90000</v>
      </c>
      <c r="D5" s="6">
        <v>75000</v>
      </c>
      <c r="E5" s="6">
        <v>85000</v>
      </c>
    </row>
    <row r="6" spans="2:5" x14ac:dyDescent="0.4">
      <c r="B6" s="2" t="s">
        <v>9</v>
      </c>
      <c r="C6" s="6">
        <v>115000</v>
      </c>
      <c r="D6" s="6">
        <v>89100</v>
      </c>
      <c r="E6" s="6">
        <v>90000</v>
      </c>
    </row>
    <row r="7" spans="2:5" x14ac:dyDescent="0.4">
      <c r="B7" s="2" t="s">
        <v>6</v>
      </c>
      <c r="C7" s="6">
        <v>90000</v>
      </c>
      <c r="D7" s="6">
        <v>90000</v>
      </c>
      <c r="E7" s="6">
        <v>90000</v>
      </c>
    </row>
    <row r="8" spans="2:5" x14ac:dyDescent="0.4">
      <c r="B8" s="2" t="s">
        <v>1</v>
      </c>
      <c r="C8" s="6">
        <v>125000</v>
      </c>
      <c r="D8" s="6">
        <v>123500</v>
      </c>
      <c r="E8" s="6">
        <v>125000</v>
      </c>
    </row>
    <row r="9" spans="2:5" x14ac:dyDescent="0.4">
      <c r="B9" s="2" t="s">
        <v>4</v>
      </c>
      <c r="C9" s="6">
        <v>130000</v>
      </c>
      <c r="D9" s="6">
        <v>119550</v>
      </c>
      <c r="E9" s="6">
        <v>127500</v>
      </c>
    </row>
    <row r="10" spans="2:5" x14ac:dyDescent="0.4">
      <c r="B10" s="2" t="s">
        <v>3</v>
      </c>
      <c r="C10" s="6">
        <v>150000</v>
      </c>
      <c r="D10" s="6">
        <v>101029</v>
      </c>
      <c r="E10" s="6">
        <v>107550</v>
      </c>
    </row>
    <row r="11" spans="2:5" x14ac:dyDescent="0.4">
      <c r="B11" s="2" t="s">
        <v>2</v>
      </c>
      <c r="C11" s="6">
        <v>110000</v>
      </c>
      <c r="D11" s="6">
        <v>111175</v>
      </c>
      <c r="E11" s="6">
        <v>111175</v>
      </c>
    </row>
    <row r="12" spans="2:5" x14ac:dyDescent="0.4">
      <c r="B12" s="2" t="s">
        <v>5</v>
      </c>
      <c r="C12" s="6">
        <v>150000</v>
      </c>
      <c r="D12" s="6">
        <v>147500</v>
      </c>
      <c r="E12" s="6">
        <v>147500</v>
      </c>
    </row>
    <row r="13" spans="2:5" x14ac:dyDescent="0.4">
      <c r="B13" s="2" t="s">
        <v>0</v>
      </c>
      <c r="C13" s="6">
        <v>155000</v>
      </c>
      <c r="D13" s="6">
        <v>155000</v>
      </c>
      <c r="E13" s="6">
        <v>155000</v>
      </c>
    </row>
    <row r="14" spans="2:5" x14ac:dyDescent="0.4">
      <c r="B14" s="2" t="s">
        <v>7</v>
      </c>
      <c r="C14" s="6">
        <v>125000</v>
      </c>
      <c r="D14" s="6">
        <v>89100</v>
      </c>
      <c r="E14" s="6">
        <v>99150</v>
      </c>
    </row>
    <row r="15" spans="2:5" x14ac:dyDescent="0.4">
      <c r="B15" s="2" t="s">
        <v>11</v>
      </c>
      <c r="C15" s="6">
        <v>118940</v>
      </c>
      <c r="D15" s="6">
        <v>111175</v>
      </c>
      <c r="E15" s="6">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4:B15"/>
  <sheetViews>
    <sheetView zoomScale="145" zoomScaleNormal="145" workbookViewId="0">
      <selection activeCell="J23" sqref="J23"/>
    </sheetView>
  </sheetViews>
  <sheetFormatPr defaultRowHeight="14.6" x14ac:dyDescent="0.4"/>
  <cols>
    <col min="1" max="1" width="12.4609375" bestFit="1" customWidth="1"/>
    <col min="2" max="2" width="13.69140625" bestFit="1" customWidth="1"/>
    <col min="3" max="3" width="13.765625" bestFit="1" customWidth="1"/>
  </cols>
  <sheetData>
    <row r="4" spans="1:2" x14ac:dyDescent="0.4">
      <c r="A4" s="1" t="s">
        <v>10</v>
      </c>
      <c r="B4" t="s">
        <v>23</v>
      </c>
    </row>
    <row r="5" spans="1:2" x14ac:dyDescent="0.4">
      <c r="A5" s="2" t="s">
        <v>24</v>
      </c>
      <c r="B5" s="3">
        <v>0.11713393731635652</v>
      </c>
    </row>
    <row r="6" spans="1:2" x14ac:dyDescent="0.4">
      <c r="A6" s="2" t="s">
        <v>25</v>
      </c>
      <c r="B6" s="3">
        <v>0.14569049951028404</v>
      </c>
    </row>
    <row r="7" spans="1:2" x14ac:dyDescent="0.4">
      <c r="A7" s="2" t="s">
        <v>17</v>
      </c>
      <c r="B7" s="3">
        <v>0.14709843290891284</v>
      </c>
    </row>
    <row r="8" spans="1:2" x14ac:dyDescent="0.4">
      <c r="A8" s="2" t="s">
        <v>26</v>
      </c>
      <c r="B8" s="3">
        <v>0.16191234084231146</v>
      </c>
    </row>
    <row r="9" spans="1:2" x14ac:dyDescent="0.4">
      <c r="A9" s="2" t="s">
        <v>16</v>
      </c>
      <c r="B9" s="3">
        <v>0.19160137120470128</v>
      </c>
    </row>
    <row r="10" spans="1:2" x14ac:dyDescent="0.4">
      <c r="A10" s="2" t="s">
        <v>27</v>
      </c>
      <c r="B10" s="3">
        <v>0.20947600391772772</v>
      </c>
    </row>
    <row r="11" spans="1:2" x14ac:dyDescent="0.4">
      <c r="A11" s="2" t="s">
        <v>15</v>
      </c>
      <c r="B11" s="3">
        <v>0.21207761998041136</v>
      </c>
    </row>
    <row r="12" spans="1:2" x14ac:dyDescent="0.4">
      <c r="A12" s="2" t="s">
        <v>14</v>
      </c>
      <c r="B12" s="3">
        <v>0.21556684622918706</v>
      </c>
    </row>
    <row r="13" spans="1:2" x14ac:dyDescent="0.4">
      <c r="A13" s="2" t="s">
        <v>13</v>
      </c>
      <c r="B13" s="3">
        <v>0.54141160626836438</v>
      </c>
    </row>
    <row r="14" spans="1:2" x14ac:dyDescent="0.4">
      <c r="A14" s="2" t="s">
        <v>12</v>
      </c>
      <c r="B14" s="3">
        <v>0.56623408423114596</v>
      </c>
    </row>
    <row r="15" spans="1:2" x14ac:dyDescent="0.4">
      <c r="A15" s="2" t="s">
        <v>11</v>
      </c>
      <c r="B15" s="3">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B4:D15"/>
  <sheetViews>
    <sheetView tabSelected="1" zoomScale="145" zoomScaleNormal="145" workbookViewId="0">
      <selection activeCell="I28" sqref="I28"/>
    </sheetView>
  </sheetViews>
  <sheetFormatPr defaultRowHeight="14.6" x14ac:dyDescent="0.4"/>
  <cols>
    <col min="2" max="2" width="14.69140625" bestFit="1" customWidth="1"/>
    <col min="3" max="3" width="18.765625" bestFit="1" customWidth="1"/>
    <col min="4" max="4" width="13.69140625" bestFit="1" customWidth="1"/>
    <col min="5" max="6" width="13.765625" bestFit="1" customWidth="1"/>
  </cols>
  <sheetData>
    <row r="4" spans="2:4" ht="14.15" customHeight="1" x14ac:dyDescent="0.4">
      <c r="B4" s="9" t="s">
        <v>10</v>
      </c>
      <c r="C4" s="4" t="s">
        <v>22</v>
      </c>
      <c r="D4" s="4" t="s">
        <v>23</v>
      </c>
    </row>
    <row r="5" spans="2:4" x14ac:dyDescent="0.4">
      <c r="B5" s="8" t="s">
        <v>26</v>
      </c>
      <c r="C5" s="6">
        <v>140000</v>
      </c>
      <c r="D5" s="7">
        <v>0.16191234084231146</v>
      </c>
    </row>
    <row r="6" spans="2:4" x14ac:dyDescent="0.4">
      <c r="B6" s="8" t="s">
        <v>27</v>
      </c>
      <c r="C6" s="6">
        <v>135000</v>
      </c>
      <c r="D6" s="7">
        <v>0.20947600391772772</v>
      </c>
    </row>
    <row r="7" spans="2:4" x14ac:dyDescent="0.4">
      <c r="B7" s="8" t="s">
        <v>24</v>
      </c>
      <c r="C7" s="6">
        <v>134241</v>
      </c>
      <c r="D7" s="7">
        <v>0.11713393731635652</v>
      </c>
    </row>
    <row r="8" spans="2:4" x14ac:dyDescent="0.4">
      <c r="B8" s="8" t="s">
        <v>25</v>
      </c>
      <c r="C8" s="6">
        <v>125000</v>
      </c>
      <c r="D8" s="7">
        <v>0.14569049951028404</v>
      </c>
    </row>
    <row r="9" spans="2:4" x14ac:dyDescent="0.4">
      <c r="B9" s="8" t="s">
        <v>13</v>
      </c>
      <c r="C9" s="6">
        <v>125000</v>
      </c>
      <c r="D9" s="7">
        <v>0.54141160626836438</v>
      </c>
    </row>
    <row r="10" spans="2:4" x14ac:dyDescent="0.4">
      <c r="B10" s="8" t="s">
        <v>12</v>
      </c>
      <c r="C10" s="6">
        <v>120000</v>
      </c>
      <c r="D10" s="7">
        <v>0.56623408423114596</v>
      </c>
    </row>
    <row r="11" spans="2:4" x14ac:dyDescent="0.4">
      <c r="B11" s="8" t="s">
        <v>15</v>
      </c>
      <c r="C11" s="6">
        <v>119550</v>
      </c>
      <c r="D11" s="7">
        <v>0.21207761998041136</v>
      </c>
    </row>
    <row r="12" spans="2:4" x14ac:dyDescent="0.4">
      <c r="B12" s="8" t="s">
        <v>14</v>
      </c>
      <c r="C12" s="6">
        <v>111175</v>
      </c>
      <c r="D12" s="7">
        <v>0.21556684622918706</v>
      </c>
    </row>
    <row r="13" spans="2:4" x14ac:dyDescent="0.4">
      <c r="B13" s="8" t="s">
        <v>17</v>
      </c>
      <c r="C13" s="6">
        <v>110000</v>
      </c>
      <c r="D13" s="7">
        <v>0.14709843290891284</v>
      </c>
    </row>
    <row r="14" spans="2:4" x14ac:dyDescent="0.4">
      <c r="B14" s="8" t="s">
        <v>16</v>
      </c>
      <c r="C14" s="6">
        <v>92500</v>
      </c>
      <c r="D14" s="7">
        <v>0.19160137120470128</v>
      </c>
    </row>
    <row r="15" spans="2:4" x14ac:dyDescent="0.4">
      <c r="B15" s="8" t="s">
        <v>11</v>
      </c>
      <c r="C15" s="6">
        <v>117500</v>
      </c>
      <c r="D15"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E6847FEA-FB43-4928-9FB8-8853D4FE2B14}">
  <ds:schemaRefs/>
</ds:datastoreItem>
</file>

<file path=customXml/itemProps2.xml><?xml version="1.0" encoding="utf-8"?>
<ds:datastoreItem xmlns:ds="http://schemas.openxmlformats.org/officeDocument/2006/customXml" ds:itemID="{DD09FF6A-AABB-48F5-A3D4-06389F1AD9F6}">
  <ds:schemaRefs/>
</ds:datastoreItem>
</file>

<file path=customXml/itemProps3.xml><?xml version="1.0" encoding="utf-8"?>
<ds:datastoreItem xmlns:ds="http://schemas.openxmlformats.org/officeDocument/2006/customXml" ds:itemID="{56C35878-2248-44F2-B620-229CDF1AB4A8}">
  <ds:schemaRefs/>
</ds:datastoreItem>
</file>

<file path=customXml/itemProps4.xml><?xml version="1.0" encoding="utf-8"?>
<ds:datastoreItem xmlns:ds="http://schemas.openxmlformats.org/officeDocument/2006/customXml" ds:itemID="{297D5C44-9762-476D-B4FF-21E64EB37B59}">
  <ds:schemaRefs/>
</ds:datastoreItem>
</file>

<file path=customXml/itemProps5.xml><?xml version="1.0" encoding="utf-8"?>
<ds:datastoreItem xmlns:ds="http://schemas.openxmlformats.org/officeDocument/2006/customXml" ds:itemID="{1077BA16-5A9B-45F3-B93E-5B792FF0A5EC}">
  <ds:schemaRefs/>
</ds:datastoreItem>
</file>

<file path=customXml/itemProps6.xml><?xml version="1.0" encoding="utf-8"?>
<ds:datastoreItem xmlns:ds="http://schemas.openxmlformats.org/officeDocument/2006/customXml" ds:itemID="{84A9E963-169B-44FD-BDDB-79187E5FBC61}">
  <ds:schemaRefs/>
</ds:datastoreItem>
</file>

<file path=customXml/itemProps7.xml><?xml version="1.0" encoding="utf-8"?>
<ds:datastoreItem xmlns:ds="http://schemas.openxmlformats.org/officeDocument/2006/customXml" ds:itemID="{3C6278E9-5526-4D46-9F77-FE249CBF7C89}">
  <ds:schemaRefs/>
</ds:datastoreItem>
</file>

<file path=customXml/itemProps8.xml><?xml version="1.0" encoding="utf-8"?>
<ds:datastoreItem xmlns:ds="http://schemas.openxmlformats.org/officeDocument/2006/customXml" ds:itemID="{B10364BB-C609-4E04-8956-2D1612883B7E}">
  <ds:schemaRefs/>
</ds:datastoreItem>
</file>

<file path=customXml/itemProps9.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Shu Jing Ding</cp:lastModifiedBy>
  <dcterms:created xsi:type="dcterms:W3CDTF">2024-08-10T22:21:34Z</dcterms:created>
  <dcterms:modified xsi:type="dcterms:W3CDTF">2025-11-14T10:22:22Z</dcterms:modified>
</cp:coreProperties>
</file>